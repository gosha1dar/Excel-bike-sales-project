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Excel обучение\"/>
    </mc:Choice>
  </mc:AlternateContent>
  <xr:revisionPtr revIDLastSave="0" documentId="13_ncr:1_{1D9DD531-3E98-46DF-B83B-77DA5BE0CCFB}" xr6:coauthVersionLast="47" xr6:coauthVersionMax="47" xr10:uidLastSave="{00000000-0000-0000-0000-000000000000}"/>
  <bookViews>
    <workbookView xWindow="-23148" yWindow="15036" windowWidth="23256" windowHeight="13176" activeTab="2" xr2:uid="{00000000-000D-0000-FFFF-FFFF00000000}"/>
  </bookViews>
  <sheets>
    <sheet name="bike_buyers" sheetId="1" r:id="rId1"/>
    <sheet name="Working Sheet" sheetId="3" r:id="rId2"/>
    <sheet name="Pivot Table" sheetId="4" r:id="rId3"/>
    <sheet name="Dashboard" sheetId="2" r:id="rId4"/>
  </sheets>
  <definedNames>
    <definedName name="_xlnm._FilterDatabase" localSheetId="0" hidden="1">bike_buyers!$A$1:$M$1001</definedName>
    <definedName name="_xlnm._FilterDatabase" localSheetId="1" hidden="1">'Working Sheet'!$A$1:$N$1001</definedName>
    <definedName name="Slicer_Age_Brackets">#N/A</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<sst xmlns="http://schemas.openxmlformats.org/spreadsheetml/2006/main" count="16267" uniqueCount="51">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</sst>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quot;$&quot;#,##0.00"/>
    <numFmt numFmtId="165" formatCode="_-[$$-409]* #,##0_ ;_-[$$-409]* \-#,##0\ ;_-[$$-409]* &quot;-&quot;??_ ;_-@_ "/>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 ##0_-;_-* "-"??_-;_-@_-</c:formatCode>
                <c:ptCount val="2"/>
                <c:pt idx="0">
                  <c:v>53440</c:v>
                </c:pt>
                <c:pt idx="1">
                  <c:v>56208.178438661707</c:v>
                </c:pt>
              </c:numCache>
            </c:numRef>
          </c:val>
          <c:extLst>
            <c:ext xmlns:c16="http://schemas.microsoft.com/office/drawing/2014/chart" uri="{C3380CC4-5D6E-409C-BE32-E72D297353CC}">
              <c16:uniqueId val="{00000000-4467-4AF6-854F-268154BE5DF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 ##0_-;_-* "-"??_-;_-@_-</c:formatCode>
                <c:ptCount val="2"/>
                <c:pt idx="0">
                  <c:v>55774.058577405856</c:v>
                </c:pt>
                <c:pt idx="1">
                  <c:v>60123.966942148763</c:v>
                </c:pt>
              </c:numCache>
            </c:numRef>
          </c:val>
          <c:extLst>
            <c:ext xmlns:c16="http://schemas.microsoft.com/office/drawing/2014/chart" uri="{C3380CC4-5D6E-409C-BE32-E72D297353CC}">
              <c16:uniqueId val="{00000004-4467-4AF6-854F-268154BE5DF9}"/>
            </c:ext>
          </c:extLst>
        </c:ser>
        <c:dLbls>
          <c:showLegendKey val="0"/>
          <c:showVal val="0"/>
          <c:showCatName val="0"/>
          <c:showSerName val="0"/>
          <c:showPercent val="0"/>
          <c:showBubbleSize val="0"/>
        </c:dLbls>
        <c:gapWidth val="219"/>
        <c:overlap val="-27"/>
        <c:axId val="518954528"/>
        <c:axId val="518955360"/>
      </c:barChart>
      <c:catAx>
        <c:axId val="518954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55360"/>
        <c:crosses val="autoZero"/>
        <c:auto val="1"/>
        <c:lblAlgn val="ctr"/>
        <c:lblOffset val="100"/>
        <c:noMultiLvlLbl val="0"/>
      </c:catAx>
      <c:valAx>
        <c:axId val="518955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545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1EB-441E-AB9B-32A021A9223F}"/>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21EB-441E-AB9B-32A021A9223F}"/>
            </c:ext>
          </c:extLst>
        </c:ser>
        <c:dLbls>
          <c:showLegendKey val="0"/>
          <c:showVal val="0"/>
          <c:showCatName val="0"/>
          <c:showSerName val="0"/>
          <c:showPercent val="0"/>
          <c:showBubbleSize val="0"/>
        </c:dLbls>
        <c:smooth val="0"/>
        <c:axId val="755334496"/>
        <c:axId val="755331584"/>
      </c:lineChart>
      <c:catAx>
        <c:axId val="755334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331584"/>
        <c:crosses val="autoZero"/>
        <c:auto val="1"/>
        <c:lblAlgn val="ctr"/>
        <c:lblOffset val="100"/>
        <c:noMultiLvlLbl val="0"/>
      </c:catAx>
      <c:valAx>
        <c:axId val="75533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33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Table'!$B$56:$B$57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Table'!$A$58:$A$61</c:f>
              <c:strCache>
                <c:ptCount val="3"/>
                <c:pt idx="0">
                  <c:v>Adolescent</c:v>
                </c:pt>
                <c:pt idx="1">
                  <c:v>Middle Age</c:v>
                </c:pt>
                <c:pt idx="2">
                  <c:v>Old</c:v>
                </c:pt>
              </c:strCache>
            </c:strRef>
          </c:cat>
          <c:val>
            <c:numRef>
              <c:f>'Pivot Table'!$B$58:$B$61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6FA-4C17-B7EB-0973B31E5ADC}"/>
            </c:ext>
          </c:extLst>
        </c:ser>
        <c:ser>
          <c:idx val="1"/>
          <c:order val="1"/>
          <c:tx>
            <c:strRef>
              <c:f>'Pivot Table'!$C$56:$C$57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Table'!$A$58:$A$61</c:f>
              <c:strCache>
                <c:ptCount val="3"/>
                <c:pt idx="0">
                  <c:v>Adolescent</c:v>
                </c:pt>
                <c:pt idx="1">
                  <c:v>Middle Age</c:v>
                </c:pt>
                <c:pt idx="2">
                  <c:v>Old</c:v>
                </c:pt>
              </c:strCache>
            </c:strRef>
          </c:cat>
          <c:val>
            <c:numRef>
              <c:f>'Pivot Table'!$C$58:$C$61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76FA-4C17-B7EB-0973B31E5ADC}"/>
            </c:ext>
          </c:extLst>
        </c:ser>
        <c:dLbls>
          <c:showLegendKey val="0"/>
          <c:showVal val="0"/>
          <c:showCatName val="0"/>
          <c:showSerName val="0"/>
          <c:showPercent val="0"/>
          <c:showBubbleSize val="0"/>
        </c:dLbls>
        <c:marker val="1"/>
        <c:smooth val="0"/>
        <c:axId val="346804624"/>
        <c:axId val="346800880"/>
      </c:lineChart>
      <c:catAx>
        <c:axId val="346804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800880"/>
        <c:crosses val="autoZero"/>
        <c:auto val="1"/>
        <c:lblAlgn val="ctr"/>
        <c:lblOffset val="100"/>
        <c:noMultiLvlLbl val="0"/>
      </c:catAx>
      <c:valAx>
        <c:axId val="34680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80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 ##0_-;\-* #\ ##0_-;_-* "-"??_-;_-@_-</c:formatCode>
                <c:ptCount val="2"/>
                <c:pt idx="0">
                  <c:v>53440</c:v>
                </c:pt>
                <c:pt idx="1">
                  <c:v>56208.178438661707</c:v>
                </c:pt>
              </c:numCache>
            </c:numRef>
          </c:val>
          <c:extLst>
            <c:ext xmlns:c16="http://schemas.microsoft.com/office/drawing/2014/chart" uri="{C3380CC4-5D6E-409C-BE32-E72D297353CC}">
              <c16:uniqueId val="{00000000-84E4-4747-B845-58A706B81069}"/>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 ##0_-;\-* #\ ##0_-;_-* "-"??_-;_-@_-</c:formatCode>
                <c:ptCount val="2"/>
                <c:pt idx="0">
                  <c:v>55774.058577405856</c:v>
                </c:pt>
                <c:pt idx="1">
                  <c:v>60123.966942148763</c:v>
                </c:pt>
              </c:numCache>
            </c:numRef>
          </c:val>
          <c:extLst>
            <c:ext xmlns:c16="http://schemas.microsoft.com/office/drawing/2014/chart" uri="{C3380CC4-5D6E-409C-BE32-E72D297353CC}">
              <c16:uniqueId val="{00000004-84E4-4747-B845-58A706B81069}"/>
            </c:ext>
          </c:extLst>
        </c:ser>
        <c:dLbls>
          <c:showLegendKey val="0"/>
          <c:showVal val="0"/>
          <c:showCatName val="0"/>
          <c:showSerName val="0"/>
          <c:showPercent val="0"/>
          <c:showBubbleSize val="0"/>
        </c:dLbls>
        <c:gapWidth val="100"/>
        <c:overlap val="-24"/>
        <c:axId val="518954528"/>
        <c:axId val="518955360"/>
      </c:barChart>
      <c:catAx>
        <c:axId val="51895452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55360"/>
        <c:crosses val="autoZero"/>
        <c:auto val="1"/>
        <c:lblAlgn val="ctr"/>
        <c:lblOffset val="100"/>
        <c:noMultiLvlLbl val="0"/>
      </c:catAx>
      <c:valAx>
        <c:axId val="518955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545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2AF-48B4-A179-596DB6F391D3}"/>
            </c:ext>
          </c:extLst>
        </c:ser>
        <c:ser>
          <c:idx val="1"/>
          <c:order val="1"/>
          <c:tx>
            <c:strRef>
              <c:f>'Pivot Table'!$C$25:$C$26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F2AF-48B4-A179-596DB6F391D3}"/>
            </c:ext>
          </c:extLst>
        </c:ser>
        <c:dLbls>
          <c:showLegendKey val="0"/>
          <c:showVal val="0"/>
          <c:showCatName val="0"/>
          <c:showSerName val="0"/>
          <c:showPercent val="0"/>
          <c:showBubbleSize val="0"/>
        </c:dLbls>
        <c:marker val="1"/>
        <c:smooth val="0"/>
        <c:axId val="755334496"/>
        <c:axId val="755331584"/>
      </c:lineChart>
      <c:catAx>
        <c:axId val="75533449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331584"/>
        <c:crosses val="autoZero"/>
        <c:auto val="1"/>
        <c:lblAlgn val="ctr"/>
        <c:lblOffset val="100"/>
        <c:noMultiLvlLbl val="0"/>
      </c:catAx>
      <c:valAx>
        <c:axId val="75533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33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Age Brackets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Table'!$B$56:$B$57</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Table'!$A$58:$A$61</c:f>
              <c:strCache>
                <c:ptCount val="3"/>
                <c:pt idx="0">
                  <c:v>Adolescent</c:v>
                </c:pt>
                <c:pt idx="1">
                  <c:v>Middle Age</c:v>
                </c:pt>
                <c:pt idx="2">
                  <c:v>Old</c:v>
                </c:pt>
              </c:strCache>
            </c:strRef>
          </c:cat>
          <c:val>
            <c:numRef>
              <c:f>'Pivot Table'!$B$58:$B$61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707-4996-9EA9-0471036E96E3}"/>
            </c:ext>
          </c:extLst>
        </c:ser>
        <c:ser>
          <c:idx val="1"/>
          <c:order val="1"/>
          <c:tx>
            <c:strRef>
              <c:f>'Pivot Table'!$C$56:$C$57</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Table'!$A$58:$A$61</c:f>
              <c:strCache>
                <c:ptCount val="3"/>
                <c:pt idx="0">
                  <c:v>Adolescent</c:v>
                </c:pt>
                <c:pt idx="1">
                  <c:v>Middle Age</c:v>
                </c:pt>
                <c:pt idx="2">
                  <c:v>Old</c:v>
                </c:pt>
              </c:strCache>
            </c:strRef>
          </c:cat>
          <c:val>
            <c:numRef>
              <c:f>'Pivot Table'!$C$58:$C$61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E707-4996-9EA9-0471036E96E3}"/>
            </c:ext>
          </c:extLst>
        </c:ser>
        <c:dLbls>
          <c:showLegendKey val="0"/>
          <c:showVal val="0"/>
          <c:showCatName val="0"/>
          <c:showSerName val="0"/>
          <c:showPercent val="0"/>
          <c:showBubbleSize val="0"/>
        </c:dLbls>
        <c:marker val="1"/>
        <c:smooth val="0"/>
        <c:axId val="346804624"/>
        <c:axId val="346800880"/>
      </c:lineChart>
      <c:catAx>
        <c:axId val="34680462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800880"/>
        <c:crosses val="autoZero"/>
        <c:auto val="1"/>
        <c:lblAlgn val="ctr"/>
        <c:lblOffset val="100"/>
        <c:noMultiLvlLbl val="0"/>
      </c:catAx>
      <c:valAx>
        <c:axId val="34680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80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431800</xdr:colOff>
      <xdr:row>1</xdr:row>
      <xdr:rowOff>12700</xdr:rowOff>
    </xdr:from>
    <xdr:to>
      <xdr:col>14</xdr:col>
      <xdr:colOff>19050</xdr:colOff>
      <xdr:row>17</xdr:row>
      <xdr:rowOff>82550</xdr:rowOff>
    </xdr:to>
    <xdr:graphicFrame macro="">
      <xdr:nvGraphicFramePr>
        <xdr:cNvPr id="2" name="Chart 1">
          <a:extLst>
            <a:ext uri="{FF2B5EF4-FFF2-40B4-BE49-F238E27FC236}">
              <a16:creationId xmlns:a16="http://schemas.microsoft.com/office/drawing/2014/main" id="{0EC700A7-3D20-44BA-904A-A1C1A732E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3174</xdr:colOff>
      <xdr:row>24</xdr:row>
      <xdr:rowOff>0</xdr:rowOff>
    </xdr:from>
    <xdr:to>
      <xdr:col>14</xdr:col>
      <xdr:colOff>146049</xdr:colOff>
      <xdr:row>41</xdr:row>
      <xdr:rowOff>177800</xdr:rowOff>
    </xdr:to>
    <xdr:graphicFrame macro="">
      <xdr:nvGraphicFramePr>
        <xdr:cNvPr id="3" name="Chart 2">
          <a:extLst>
            <a:ext uri="{FF2B5EF4-FFF2-40B4-BE49-F238E27FC236}">
              <a16:creationId xmlns:a16="http://schemas.microsoft.com/office/drawing/2014/main" id="{1E2F8C02-4CC7-4246-BF6F-4140C9F25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596900</xdr:colOff>
      <xdr:row>55</xdr:row>
      <xdr:rowOff>38100</xdr:rowOff>
    </xdr:from>
    <xdr:to>
      <xdr:col>15</xdr:col>
      <xdr:colOff>285750</xdr:colOff>
      <xdr:row>72</xdr:row>
      <xdr:rowOff>12700</xdr:rowOff>
    </xdr:to>
    <xdr:graphicFrame macro="">
      <xdr:nvGraphicFramePr>
        <xdr:cNvPr id="4" name="Chart 3">
          <a:extLst>
            <a:ext uri="{FF2B5EF4-FFF2-40B4-BE49-F238E27FC236}">
              <a16:creationId xmlns:a16="http://schemas.microsoft.com/office/drawing/2014/main" id="{952BC081-4249-4C87-A0CD-CC0F4F8429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450850</xdr:colOff>
      <xdr:row>6</xdr:row>
      <xdr:rowOff>19050</xdr:rowOff>
    </xdr:from>
    <xdr:to>
      <xdr:col>11</xdr:col>
      <xdr:colOff>101600</xdr:colOff>
      <xdr:row>22</xdr:row>
      <xdr:rowOff>101600</xdr:rowOff>
    </xdr:to>
    <xdr:graphicFrame macro="">
      <xdr:nvGraphicFramePr>
        <xdr:cNvPr id="2" name="Chart 1">
          <a:extLst>
            <a:ext uri="{FF2B5EF4-FFF2-40B4-BE49-F238E27FC236}">
              <a16:creationId xmlns:a16="http://schemas.microsoft.com/office/drawing/2014/main" id="{2917D967-E22C-4773-B38D-77473FCBD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431800</xdr:colOff>
      <xdr:row>22</xdr:row>
      <xdr:rowOff>152400</xdr:rowOff>
    </xdr:from>
    <xdr:to>
      <xdr:col>20</xdr:col>
      <xdr:colOff>6350</xdr:colOff>
      <xdr:row>42</xdr:row>
      <xdr:rowOff>0</xdr:rowOff>
    </xdr:to>
    <xdr:graphicFrame macro="">
      <xdr:nvGraphicFramePr>
        <xdr:cNvPr id="3" name="Chart 2">
          <a:extLst>
            <a:ext uri="{FF2B5EF4-FFF2-40B4-BE49-F238E27FC236}">
              <a16:creationId xmlns:a16="http://schemas.microsoft.com/office/drawing/2014/main" id="{3340E0E6-5771-4553-B209-FFF4C709D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127000</xdr:colOff>
      <xdr:row>6</xdr:row>
      <xdr:rowOff>25400</xdr:rowOff>
    </xdr:from>
    <xdr:to>
      <xdr:col>20</xdr:col>
      <xdr:colOff>7136</xdr:colOff>
      <xdr:row>22</xdr:row>
      <xdr:rowOff>114300</xdr:rowOff>
    </xdr:to>
    <xdr:graphicFrame macro="">
      <xdr:nvGraphicFramePr>
        <xdr:cNvPr id="4" name="Chart 3">
          <a:extLst>
            <a:ext uri="{FF2B5EF4-FFF2-40B4-BE49-F238E27FC236}">
              <a16:creationId xmlns:a16="http://schemas.microsoft.com/office/drawing/2014/main" id="{5760306A-267B-42DD-9665-D70E3EBB0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25400</xdr:rowOff>
    </xdr:from>
    <xdr:to>
      <xdr:col>2</xdr:col>
      <xdr:colOff>444500</xdr:colOff>
      <xdr:row>11</xdr:row>
      <xdr:rowOff>69850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9A1A400E-8B6F-4A45-8258-E7387F19362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30300"/>
              <a:ext cx="1663700" cy="965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152400</xdr:rowOff>
    </xdr:from>
    <xdr:to>
      <xdr:col>2</xdr:col>
      <xdr:colOff>431800</xdr:colOff>
      <xdr:row>27</xdr:row>
      <xdr:rowOff>69849</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951C4A6B-B1DD-45ED-8EC9-EAA4372FD78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82950"/>
              <a:ext cx="1651000" cy="1758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76201</xdr:rowOff>
    </xdr:from>
    <xdr:to>
      <xdr:col>2</xdr:col>
      <xdr:colOff>438150</xdr:colOff>
      <xdr:row>17</xdr:row>
      <xdr:rowOff>152400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B5B3470-1CC6-4F82-A591-5448F135E6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01851"/>
              <a:ext cx="165735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27</xdr:row>
      <xdr:rowOff>69850</xdr:rowOff>
    </xdr:from>
    <xdr:to>
      <xdr:col>2</xdr:col>
      <xdr:colOff>431800</xdr:colOff>
      <xdr:row>33</xdr:row>
      <xdr:rowOff>158749</xdr:rowOff>
    </xdr:to>
    <mc:AlternateContent xmlns:mc="http://schemas.openxmlformats.org/markup-compatibility/2006" xmlns:a14="http://schemas.microsoft.com/office/drawing/2010/main">
      <mc:Choice Requires="a14">
        <xdr:graphicFrame macro="">
          <xdr:nvGraphicFramePr>
            <xdr:cNvPr id="12" name="Age Brackets">
              <a:extLst>
                <a:ext uri="{FF2B5EF4-FFF2-40B4-BE49-F238E27FC236}">
                  <a16:creationId xmlns:a16="http://schemas.microsoft.com/office/drawing/2014/main" id="{C1B3F9F2-B8C1-44EB-9BEE-E73E842711ED}"/>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mlns="">
        <xdr:sp macro="" textlink="">
          <xdr:nvSpPr>
            <xdr:cNvPr id="0" name=""/>
            <xdr:cNvSpPr>
              <a:spLocks noTextEdit="1"/>
            </xdr:cNvSpPr>
          </xdr:nvSpPr>
          <xdr:spPr>
            <a:xfrm>
              <a:off x="6350" y="5041900"/>
              <a:ext cx="1644650" cy="1193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Георгий Даречкин" refreshedDate="46140.760168749999" missingItemsLimit="0" createdVersion="7" refreshedVersion="7" minRefreshableVersion="3" recordCount="1000" xr:uid="{1D11E240-6395-4D6D-BF03-33B0CF97C5F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658267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575293-D28F-4D14-9C88-3A8A1E2AC57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5:D3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30A95F-12BF-4B93-9406-3760BE5C8D0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33BEE3-3ED6-4E29-9FBB-B130B17B2F6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6:D6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855B085-26D3-4E2F-A3B2-5A5CF12355AC}" sourceName="Marital Status">
  <pivotTables>
    <pivotTable tabId="4" name="PivotTable1"/>
    <pivotTable tabId="4" name="PivotTable2"/>
    <pivotTable tabId="4" name="PivotTable3"/>
  </pivotTables>
  <data>
    <tabular pivotCacheId="86582671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04D8081-9C90-418B-BBF8-1D6F9D6F0118}" sourceName="Education">
  <pivotTables>
    <pivotTable tabId="4" name="PivotTable1"/>
    <pivotTable tabId="4" name="PivotTable2"/>
    <pivotTable tabId="4" name="PivotTable3"/>
  </pivotTables>
  <data>
    <tabular pivotCacheId="86582671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B993596-EA7A-4381-B7A7-468317D264DF}" sourceName="Region">
  <pivotTables>
    <pivotTable tabId="4" name="PivotTable1"/>
    <pivotTable tabId="4" name="PivotTable2"/>
    <pivotTable tabId="4" name="PivotTable3"/>
  </pivotTables>
  <data>
    <tabular pivotCacheId="86582671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88AB4CF3-10A7-4B98-AA76-913E20968FDC}" sourceName="Age Brackets">
  <pivotTables>
    <pivotTable tabId="4" name="PivotTable3"/>
  </pivotTables>
  <data>
    <tabular pivotCacheId="86582671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339812F-C0D3-4286-937B-8AAD52114A83}" cache="Slicer_Marital_Status" caption="Marital Status" style="SlicerStyleOther2" rowHeight="241300"/>
  <slicer name="Education" xr10:uid="{B7A3979A-8EC4-45F5-9D4E-D599FF9619E5}" cache="Slicer_Education" caption="Education" rowHeight="241300"/>
  <slicer name="Region" xr10:uid="{E039F6D5-E8E3-41AC-9295-56452D2125A4}" cache="Slicer_Region" caption="Region" rowHeight="241300"/>
  <slicer name="Age Brackets" xr10:uid="{D9A8BB07-BD88-45C5-A749-AD4CD3823C44}" cache="Slicer_Age_Brackets" caption="Age Bracket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I47" sqref="I4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240F-5FB1-47B7-A7BA-860A643376CE}">
  <dimension ref="A1:N1001"/>
  <sheetViews>
    <sheetView workbookViewId="0">
      <selection activeCell="M1" sqref="M1:M1048576"/>
    </sheetView>
  </sheetViews>
  <sheetFormatPr defaultColWidth="11.90625" defaultRowHeight="14.5" x14ac:dyDescent="0.35"/>
  <cols>
    <col min="1" max="1" width="18.36328125" customWidth="1"/>
    <col min="2" max="2" width="14.6328125" bestFit="1" customWidth="1"/>
    <col min="4" max="4" width="13.90625" style="3" bestFit="1" customWidth="1"/>
    <col min="6" max="6" width="16.26953125" bestFit="1" customWidth="1"/>
    <col min="7" max="7" width="13" bestFit="1" customWidth="1"/>
    <col min="8" max="8" width="14.1796875" bestFit="1" customWidth="1"/>
    <col min="10" max="10" width="18.90625" bestFit="1" customWidth="1"/>
    <col min="13" max="13" width="27.453125" bestFit="1" customWidth="1"/>
    <col min="14" max="14" width="15.7265625" bestFit="1"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 "Old",IF(L2&gt;=31, "Middle Age", IF(L2&lt;31, "Adolescent", "Invalid")))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 "Old",IF(L3&gt;=31, "Middle Age", IF(L3&lt;31, "Adolescent", "Invalid")))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 "Old",IF(L67&gt;=31, "Middle Age", IF(L67&lt;31, "Adolescent", "Invalid")))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 "Old",IF(L131&gt;=31, "Middle Age", IF(L131&lt;31, "Adolescent", "Invalid")))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 "Old",IF(L195&gt;=31, "Middle Age", IF(L195&lt;31, "Adolescent", "Invalid")))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 "Old",IF(L259&gt;=31, "Middle Age", IF(L259&lt;31, "Adolescent", "Invalid")))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 "Old",IF(L323&gt;=31, "Middle Age", IF(L323&lt;31, "Adolescent", "Invalid")))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 "Old",IF(L387&gt;=31, "Middle Age", IF(L387&lt;31, "Adolescent", "Invalid")))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 "Old",IF(L451&gt;=31, "Middle Age", IF(L451&lt;31, "Adolescent", "Invalid")))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 "Old",IF(L515&gt;=31, "Middle Age", IF(L515&lt;31, "Adolescent", "Invalid")))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 "Old",IF(L579&gt;=31, "Middle Age", IF(L579&lt;31, "Adolescent", "Invalid")))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 "Old",IF(L643&gt;=31, "Middle Age", IF(L643&lt;31, "Adolescent", "Invalid")))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 "Old",IF(L707&gt;=31, "Middle Age", IF(L707&lt;31, "Adolescent", "Invalid")))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 "Old",IF(L771&gt;=31, "Middle Age", IF(L771&lt;31, "Adolescent", "Invalid")))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 "Old",IF(L835&gt;=31, "Middle Age", IF(L835&lt;31, "Adolescent", "Invalid")))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 "Old",IF(L899&gt;=31, "Middle Age", IF(L899&lt;31, "Adolescent", "Invalid")))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 "Old",IF(L963&gt;=31, "Middle Age", IF(L963&lt;31, "Adolescent", "Invalid")))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49D1240F-5FB1-47B7-A7BA-860A643376C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0D09C-E3C1-4B5D-A327-91C7BD2FC761}">
  <dimension ref="A3:D61"/>
  <sheetViews>
    <sheetView tabSelected="1" workbookViewId="0">
      <selection activeCell="B57" sqref="B57"/>
    </sheetView>
  </sheetViews>
  <sheetFormatPr defaultRowHeight="14.5" x14ac:dyDescent="0.35"/>
  <cols>
    <col min="1" max="1" width="16.453125" bestFit="1" customWidth="1"/>
    <col min="2" max="2" width="15.26953125" bestFit="1" customWidth="1"/>
    <col min="3" max="3" width="7.54296875" bestFit="1" customWidth="1"/>
    <col min="4" max="4" width="10.7265625" bestFit="1" customWidth="1"/>
  </cols>
  <sheetData>
    <row r="3" spans="1:4" x14ac:dyDescent="0.35">
      <c r="A3" s="5" t="s">
        <v>43</v>
      </c>
      <c r="B3" s="5" t="s">
        <v>44</v>
      </c>
    </row>
    <row r="4" spans="1:4" x14ac:dyDescent="0.35">
      <c r="A4" s="5" t="s">
        <v>41</v>
      </c>
      <c r="B4" t="s">
        <v>18</v>
      </c>
      <c r="C4" t="s">
        <v>15</v>
      </c>
      <c r="D4" t="s">
        <v>42</v>
      </c>
    </row>
    <row r="5" spans="1:4" x14ac:dyDescent="0.35">
      <c r="A5" s="6" t="s">
        <v>39</v>
      </c>
      <c r="B5" s="7">
        <v>53440</v>
      </c>
      <c r="C5" s="7">
        <v>55774.058577405856</v>
      </c>
      <c r="D5" s="7">
        <v>54580.777096114522</v>
      </c>
    </row>
    <row r="6" spans="1:4" x14ac:dyDescent="0.35">
      <c r="A6" s="6" t="s">
        <v>38</v>
      </c>
      <c r="B6" s="7">
        <v>56208.178438661707</v>
      </c>
      <c r="C6" s="7">
        <v>60123.966942148763</v>
      </c>
      <c r="D6" s="7">
        <v>58062.62230919765</v>
      </c>
    </row>
    <row r="7" spans="1:4" x14ac:dyDescent="0.35">
      <c r="A7" s="6" t="s">
        <v>42</v>
      </c>
      <c r="B7" s="7">
        <v>54874.759152215796</v>
      </c>
      <c r="C7" s="7">
        <v>57962.577962577961</v>
      </c>
      <c r="D7" s="7">
        <v>56360</v>
      </c>
    </row>
    <row r="25" spans="1:4" x14ac:dyDescent="0.35">
      <c r="A25" s="5" t="s">
        <v>45</v>
      </c>
      <c r="B25" s="5" t="s">
        <v>44</v>
      </c>
    </row>
    <row r="26" spans="1:4" x14ac:dyDescent="0.35">
      <c r="A26" s="5" t="s">
        <v>41</v>
      </c>
      <c r="B26" t="s">
        <v>18</v>
      </c>
      <c r="C26" t="s">
        <v>15</v>
      </c>
      <c r="D26" t="s">
        <v>42</v>
      </c>
    </row>
    <row r="27" spans="1:4" x14ac:dyDescent="0.35">
      <c r="A27" s="6" t="s">
        <v>16</v>
      </c>
      <c r="B27" s="4">
        <v>166</v>
      </c>
      <c r="C27" s="4">
        <v>200</v>
      </c>
      <c r="D27" s="4">
        <v>366</v>
      </c>
    </row>
    <row r="28" spans="1:4" x14ac:dyDescent="0.35">
      <c r="A28" s="6" t="s">
        <v>26</v>
      </c>
      <c r="B28" s="4">
        <v>92</v>
      </c>
      <c r="C28" s="4">
        <v>77</v>
      </c>
      <c r="D28" s="4">
        <v>169</v>
      </c>
    </row>
    <row r="29" spans="1:4" x14ac:dyDescent="0.35">
      <c r="A29" s="6" t="s">
        <v>22</v>
      </c>
      <c r="B29" s="4">
        <v>67</v>
      </c>
      <c r="C29" s="4">
        <v>95</v>
      </c>
      <c r="D29" s="4">
        <v>162</v>
      </c>
    </row>
    <row r="30" spans="1:4" x14ac:dyDescent="0.35">
      <c r="A30" s="6" t="s">
        <v>23</v>
      </c>
      <c r="B30" s="4">
        <v>116</v>
      </c>
      <c r="C30" s="4">
        <v>76</v>
      </c>
      <c r="D30" s="4">
        <v>192</v>
      </c>
    </row>
    <row r="31" spans="1:4" x14ac:dyDescent="0.35">
      <c r="A31" s="6" t="s">
        <v>46</v>
      </c>
      <c r="B31" s="4">
        <v>78</v>
      </c>
      <c r="C31" s="4">
        <v>33</v>
      </c>
      <c r="D31" s="4">
        <v>111</v>
      </c>
    </row>
    <row r="32" spans="1:4" x14ac:dyDescent="0.35">
      <c r="A32" s="6" t="s">
        <v>42</v>
      </c>
      <c r="B32" s="4">
        <v>519</v>
      </c>
      <c r="C32" s="4">
        <v>481</v>
      </c>
      <c r="D32" s="4">
        <v>1000</v>
      </c>
    </row>
    <row r="56" spans="1:4" x14ac:dyDescent="0.35">
      <c r="A56" s="5" t="s">
        <v>45</v>
      </c>
      <c r="B56" s="5" t="s">
        <v>44</v>
      </c>
    </row>
    <row r="57" spans="1:4" x14ac:dyDescent="0.35">
      <c r="A57" s="5" t="s">
        <v>41</v>
      </c>
      <c r="B57" t="s">
        <v>18</v>
      </c>
      <c r="C57" t="s">
        <v>15</v>
      </c>
      <c r="D57" t="s">
        <v>42</v>
      </c>
    </row>
    <row r="58" spans="1:4" x14ac:dyDescent="0.35">
      <c r="A58" s="6" t="s">
        <v>47</v>
      </c>
      <c r="B58" s="4">
        <v>71</v>
      </c>
      <c r="C58" s="4">
        <v>39</v>
      </c>
      <c r="D58" s="4">
        <v>110</v>
      </c>
    </row>
    <row r="59" spans="1:4" x14ac:dyDescent="0.35">
      <c r="A59" s="6" t="s">
        <v>48</v>
      </c>
      <c r="B59" s="4">
        <v>318</v>
      </c>
      <c r="C59" s="4">
        <v>383</v>
      </c>
      <c r="D59" s="4">
        <v>701</v>
      </c>
    </row>
    <row r="60" spans="1:4" x14ac:dyDescent="0.35">
      <c r="A60" s="6" t="s">
        <v>49</v>
      </c>
      <c r="B60" s="4">
        <v>130</v>
      </c>
      <c r="C60" s="4">
        <v>59</v>
      </c>
      <c r="D60" s="4">
        <v>189</v>
      </c>
    </row>
    <row r="61" spans="1:4" x14ac:dyDescent="0.35">
      <c r="A61" s="6" t="s">
        <v>42</v>
      </c>
      <c r="B61" s="4">
        <v>519</v>
      </c>
      <c r="C61" s="4">
        <v>481</v>
      </c>
      <c r="D61"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2DCE5-9FD2-4A56-B775-582F493F99E6}">
  <dimension ref="A1:T6"/>
  <sheetViews>
    <sheetView showGridLines="0" workbookViewId="0">
      <selection activeCell="X27" sqref="X27"/>
    </sheetView>
  </sheetViews>
  <sheetFormatPr defaultRowHeight="14.5" x14ac:dyDescent="0.35"/>
  <sheetData>
    <row r="1" spans="1:20" ht="14.5" customHeight="1" x14ac:dyDescent="0.35">
      <c r="A1" s="8" t="s">
        <v>50</v>
      </c>
      <c r="B1" s="8"/>
      <c r="C1" s="8"/>
      <c r="D1" s="8"/>
      <c r="E1" s="8"/>
      <c r="F1" s="8"/>
      <c r="G1" s="8"/>
      <c r="H1" s="8"/>
      <c r="I1" s="8"/>
      <c r="J1" s="8"/>
      <c r="K1" s="8"/>
      <c r="L1" s="8"/>
      <c r="M1" s="8"/>
      <c r="N1" s="8"/>
      <c r="O1" s="8"/>
      <c r="P1" s="8"/>
      <c r="Q1" s="8"/>
      <c r="R1" s="8"/>
      <c r="S1" s="8"/>
      <c r="T1" s="8"/>
    </row>
    <row r="2" spans="1:20" ht="14.5" customHeight="1" x14ac:dyDescent="0.35">
      <c r="A2" s="8"/>
      <c r="B2" s="8"/>
      <c r="C2" s="8"/>
      <c r="D2" s="8"/>
      <c r="E2" s="8"/>
      <c r="F2" s="8"/>
      <c r="G2" s="8"/>
      <c r="H2" s="8"/>
      <c r="I2" s="8"/>
      <c r="J2" s="8"/>
      <c r="K2" s="8"/>
      <c r="L2" s="8"/>
      <c r="M2" s="8"/>
      <c r="N2" s="8"/>
      <c r="O2" s="8"/>
      <c r="P2" s="8"/>
      <c r="Q2" s="8"/>
      <c r="R2" s="8"/>
      <c r="S2" s="8"/>
      <c r="T2" s="8"/>
    </row>
    <row r="3" spans="1:20" ht="14.5" customHeight="1" x14ac:dyDescent="0.35">
      <c r="A3" s="8"/>
      <c r="B3" s="8"/>
      <c r="C3" s="8"/>
      <c r="D3" s="8"/>
      <c r="E3" s="8"/>
      <c r="F3" s="8"/>
      <c r="G3" s="8"/>
      <c r="H3" s="8"/>
      <c r="I3" s="8"/>
      <c r="J3" s="8"/>
      <c r="K3" s="8"/>
      <c r="L3" s="8"/>
      <c r="M3" s="8"/>
      <c r="N3" s="8"/>
      <c r="O3" s="8"/>
      <c r="P3" s="8"/>
      <c r="Q3" s="8"/>
      <c r="R3" s="8"/>
      <c r="S3" s="8"/>
      <c r="T3" s="8"/>
    </row>
    <row r="4" spans="1:20" ht="14.5" customHeight="1" x14ac:dyDescent="0.35">
      <c r="A4" s="8"/>
      <c r="B4" s="8"/>
      <c r="C4" s="8"/>
      <c r="D4" s="8"/>
      <c r="E4" s="8"/>
      <c r="F4" s="8"/>
      <c r="G4" s="8"/>
      <c r="H4" s="8"/>
      <c r="I4" s="8"/>
      <c r="J4" s="8"/>
      <c r="K4" s="8"/>
      <c r="L4" s="8"/>
      <c r="M4" s="8"/>
      <c r="N4" s="8"/>
      <c r="O4" s="8"/>
      <c r="P4" s="8"/>
      <c r="Q4" s="8"/>
      <c r="R4" s="8"/>
      <c r="S4" s="8"/>
      <c r="T4" s="8"/>
    </row>
    <row r="5" spans="1:20" ht="14.5" customHeight="1" x14ac:dyDescent="0.35">
      <c r="A5" s="8"/>
      <c r="B5" s="8"/>
      <c r="C5" s="8"/>
      <c r="D5" s="8"/>
      <c r="E5" s="8"/>
      <c r="F5" s="8"/>
      <c r="G5" s="8"/>
      <c r="H5" s="8"/>
      <c r="I5" s="8"/>
      <c r="J5" s="8"/>
      <c r="K5" s="8"/>
      <c r="L5" s="8"/>
      <c r="M5" s="8"/>
      <c r="N5" s="8"/>
      <c r="O5" s="8"/>
      <c r="P5" s="8"/>
      <c r="Q5" s="8"/>
      <c r="R5" s="8"/>
      <c r="S5" s="8"/>
      <c r="T5" s="8"/>
    </row>
    <row r="6" spans="1:20" ht="14.5" customHeight="1" x14ac:dyDescent="0.35">
      <c r="A6" s="8"/>
      <c r="B6" s="8"/>
      <c r="C6" s="8"/>
      <c r="D6" s="8"/>
      <c r="E6" s="8"/>
      <c r="F6" s="8"/>
      <c r="G6" s="8"/>
      <c r="H6" s="8"/>
      <c r="I6" s="8"/>
      <c r="J6" s="8"/>
      <c r="K6" s="8"/>
      <c r="L6" s="8"/>
      <c r="M6" s="8"/>
      <c r="N6" s="8"/>
      <c r="O6" s="8"/>
      <c r="P6" s="8"/>
      <c r="Q6" s="8"/>
      <c r="R6" s="8"/>
      <c r="S6" s="8"/>
      <c r="T6" s="8"/>
    </row>
  </sheetData>
  <mergeCells count="1">
    <mergeCell ref="A1:T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гоша даречкин</dc:creator>
  <cp:lastModifiedBy>гоша даречкин</cp:lastModifiedBy>
  <dcterms:created xsi:type="dcterms:W3CDTF">2022-03-18T02:50:57Z</dcterms:created>
  <dcterms:modified xsi:type="dcterms:W3CDTF">2026-05-06T19:01:08Z</dcterms:modified>
</cp:coreProperties>
</file>